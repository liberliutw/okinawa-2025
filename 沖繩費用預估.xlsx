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er.liu\Desktop\"/>
    </mc:Choice>
  </mc:AlternateContent>
  <xr:revisionPtr revIDLastSave="0" documentId="8_{9D87AC4A-237C-4D32-A6AA-ADD7E797CFB2}" xr6:coauthVersionLast="47" xr6:coauthVersionMax="47" xr10:uidLastSave="{00000000-0000-0000-0000-000000000000}"/>
  <bookViews>
    <workbookView xWindow="-120" yWindow="-120" windowWidth="29040" windowHeight="15720" xr2:uid="{50E84034-B0F9-4384-AA2F-0DFA3888C29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2" i="1" l="1"/>
  <c r="F12" i="1" s="1"/>
  <c r="E9" i="1"/>
  <c r="F9" i="1" s="1"/>
  <c r="E7" i="1"/>
  <c r="F7" i="1" s="1"/>
  <c r="F10" i="1"/>
  <c r="E14" i="1"/>
  <c r="F14" i="1" s="1"/>
  <c r="E13" i="1"/>
  <c r="F13" i="1" s="1"/>
  <c r="E11" i="1"/>
  <c r="F11" i="1" s="1"/>
  <c r="E10" i="1"/>
  <c r="E5" i="1"/>
  <c r="F5" i="1" s="1"/>
  <c r="E6" i="1"/>
  <c r="F6" i="1" s="1"/>
  <c r="E4" i="1"/>
  <c r="F4" i="1" s="1"/>
  <c r="E15" i="1"/>
  <c r="F15" i="1" s="1"/>
  <c r="F8" i="1"/>
  <c r="D3" i="1"/>
  <c r="E3" i="1" s="1"/>
  <c r="F3" i="1" s="1"/>
  <c r="F17" i="1" l="1"/>
</calcChain>
</file>

<file path=xl/sharedStrings.xml><?xml version="1.0" encoding="utf-8"?>
<sst xmlns="http://schemas.openxmlformats.org/spreadsheetml/2006/main" count="30" uniqueCount="24">
  <si>
    <t>租車</t>
    <phoneticPr fontId="1" type="noConversion"/>
  </si>
  <si>
    <t>日幣</t>
    <phoneticPr fontId="1" type="noConversion"/>
  </si>
  <si>
    <t>台幣</t>
    <phoneticPr fontId="1" type="noConversion"/>
  </si>
  <si>
    <t>Relax</t>
    <phoneticPr fontId="1" type="noConversion"/>
  </si>
  <si>
    <t>沖繩 OCEANS新原海底観光中心 玻璃底船體驗</t>
    <phoneticPr fontId="1" type="noConversion"/>
  </si>
  <si>
    <t>Klook</t>
    <phoneticPr fontId="1" type="noConversion"/>
  </si>
  <si>
    <t>Okinawa old folk house-“Ufuya”</t>
    <phoneticPr fontId="1" type="noConversion"/>
  </si>
  <si>
    <t>油錢</t>
    <phoneticPr fontId="1" type="noConversion"/>
  </si>
  <si>
    <t>過路費</t>
    <phoneticPr fontId="1" type="noConversion"/>
  </si>
  <si>
    <t>預估</t>
    <phoneticPr fontId="1" type="noConversion"/>
  </si>
  <si>
    <t>單軌電車費用</t>
    <phoneticPr fontId="1" type="noConversion"/>
  </si>
  <si>
    <t>萬座毛</t>
  </si>
  <si>
    <t>首里城</t>
    <phoneticPr fontId="1" type="noConversion"/>
  </si>
  <si>
    <t>許田休息站買折扣</t>
    <phoneticPr fontId="1" type="noConversion"/>
  </si>
  <si>
    <t>玉泉洞</t>
    <phoneticPr fontId="1" type="noConversion"/>
  </si>
  <si>
    <t>現場買</t>
    <phoneticPr fontId="1" type="noConversion"/>
  </si>
  <si>
    <t>夜間停車費 (兩晚)</t>
    <phoneticPr fontId="1" type="noConversion"/>
  </si>
  <si>
    <t>預估, 刷信用卡單天最高 800 日圓</t>
    <phoneticPr fontId="1" type="noConversion"/>
  </si>
  <si>
    <r>
      <rPr>
        <sz val="12"/>
        <color theme="1"/>
        <rFont val="微軟正黑體"/>
        <family val="2"/>
        <charset val="136"/>
      </rPr>
      <t>部瀨名</t>
    </r>
    <r>
      <rPr>
        <sz val="12"/>
        <color theme="1"/>
        <rFont val="Malgun Gothic Semilight"/>
        <family val="2"/>
        <charset val="136"/>
      </rPr>
      <t>海中塔</t>
    </r>
    <phoneticPr fontId="1" type="noConversion"/>
  </si>
  <si>
    <t>美麗海水族館</t>
    <phoneticPr fontId="1" type="noConversion"/>
  </si>
  <si>
    <t>官網訂位</t>
    <phoneticPr fontId="1" type="noConversion"/>
  </si>
  <si>
    <t>琉球玻璃村</t>
    <phoneticPr fontId="1" type="noConversion"/>
  </si>
  <si>
    <t>平均每人 NTD</t>
    <phoneticPr fontId="1" type="noConversion"/>
  </si>
  <si>
    <t>備註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</si>
</sst>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algun Gothic Semilight"/>
      <family val="2"/>
      <charset val="136"/>
    </font>
    <font>
      <sz val="12"/>
      <color theme="1"/>
      <name val="Microsoft JhengHei"/>
      <family val="2"/>
    </font>
    <font>
      <sz val="12"/>
      <color theme="1"/>
      <name val="Microsoft JhengHei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NumberFormat="1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5" fillId="0" borderId="1" xfId="0" applyNumberFormat="1" applyFont="1" applyBorder="1" applyAlignment="1">
      <alignment vertical="center" wrapText="1"/>
    </xf>
    <xf numFmtId="0" fontId="6" fillId="0" borderId="1" xfId="0" applyNumberFormat="1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B4DA5-CF16-4C33-BC90-63DA20A5194C}">
  <dimension ref="C2:G20"/>
  <sheetViews>
    <sheetView tabSelected="1" workbookViewId="0">
      <selection activeCell="G20" sqref="G20"/>
    </sheetView>
  </sheetViews>
  <sheetFormatPr defaultRowHeight="17.25"/>
  <cols>
    <col min="1" max="2" width="9" style="3"/>
    <col min="3" max="3" width="33" style="1" customWidth="1"/>
    <col min="4" max="5" width="9" style="3"/>
    <col min="6" max="6" width="15.375" style="3" customWidth="1"/>
    <col min="7" max="7" width="33.375" style="3" bestFit="1" customWidth="1"/>
    <col min="8" max="16384" width="9" style="3"/>
  </cols>
  <sheetData>
    <row r="2" spans="3:7">
      <c r="C2" s="5"/>
      <c r="D2" s="6" t="s">
        <v>1</v>
      </c>
      <c r="E2" s="6" t="s">
        <v>2</v>
      </c>
      <c r="F2" s="7" t="s">
        <v>22</v>
      </c>
      <c r="G2" s="8" t="s">
        <v>23</v>
      </c>
    </row>
    <row r="3" spans="3:7">
      <c r="C3" s="5" t="s">
        <v>0</v>
      </c>
      <c r="D3" s="6">
        <f>27720</f>
        <v>27720</v>
      </c>
      <c r="E3" s="6">
        <f>(D3*0.2)</f>
        <v>5544</v>
      </c>
      <c r="F3" s="9">
        <f>E3/8</f>
        <v>693</v>
      </c>
      <c r="G3" s="10" t="s">
        <v>3</v>
      </c>
    </row>
    <row r="4" spans="3:7">
      <c r="C4" s="11" t="s">
        <v>7</v>
      </c>
      <c r="D4" s="6">
        <v>8000</v>
      </c>
      <c r="E4" s="6">
        <f>(D4*0.2)</f>
        <v>1600</v>
      </c>
      <c r="F4" s="9">
        <f>E4/8</f>
        <v>200</v>
      </c>
      <c r="G4" s="12" t="s">
        <v>9</v>
      </c>
    </row>
    <row r="5" spans="3:7">
      <c r="C5" s="11" t="s">
        <v>8</v>
      </c>
      <c r="D5" s="6">
        <v>1040</v>
      </c>
      <c r="E5" s="6">
        <f t="shared" ref="E5:E7" si="0">(D5*0.2)</f>
        <v>208</v>
      </c>
      <c r="F5" s="9">
        <f t="shared" ref="F5:F6" si="1">E5/8</f>
        <v>26</v>
      </c>
      <c r="G5" s="12" t="s">
        <v>9</v>
      </c>
    </row>
    <row r="6" spans="3:7">
      <c r="C6" s="11" t="s">
        <v>16</v>
      </c>
      <c r="D6" s="6">
        <v>1600</v>
      </c>
      <c r="E6" s="6">
        <f t="shared" si="0"/>
        <v>320</v>
      </c>
      <c r="F6" s="9">
        <f t="shared" si="1"/>
        <v>40</v>
      </c>
      <c r="G6" s="12" t="s">
        <v>9</v>
      </c>
    </row>
    <row r="7" spans="3:7">
      <c r="C7" s="11" t="s">
        <v>10</v>
      </c>
      <c r="D7" s="6">
        <v>1280</v>
      </c>
      <c r="E7" s="6">
        <f t="shared" si="0"/>
        <v>256</v>
      </c>
      <c r="F7" s="9">
        <f>E7</f>
        <v>256</v>
      </c>
      <c r="G7" s="12" t="s">
        <v>17</v>
      </c>
    </row>
    <row r="8" spans="3:7" ht="34.5">
      <c r="C8" s="5" t="s">
        <v>4</v>
      </c>
      <c r="D8" s="6"/>
      <c r="E8" s="6">
        <v>437</v>
      </c>
      <c r="F8" s="9">
        <f>E8</f>
        <v>437</v>
      </c>
      <c r="G8" s="10" t="s">
        <v>5</v>
      </c>
    </row>
    <row r="9" spans="3:7">
      <c r="C9" s="13" t="s">
        <v>19</v>
      </c>
      <c r="D9" s="6">
        <v>2000</v>
      </c>
      <c r="E9" s="6">
        <f t="shared" ref="E9:E14" si="2">(D9*0.2)</f>
        <v>400</v>
      </c>
      <c r="F9" s="9">
        <f>E9</f>
        <v>400</v>
      </c>
      <c r="G9" s="8" t="s">
        <v>13</v>
      </c>
    </row>
    <row r="10" spans="3:7" ht="19.5">
      <c r="C10" s="14" t="s">
        <v>14</v>
      </c>
      <c r="D10" s="6">
        <v>950</v>
      </c>
      <c r="E10" s="6">
        <f t="shared" si="2"/>
        <v>190</v>
      </c>
      <c r="F10" s="9">
        <f>E10</f>
        <v>190</v>
      </c>
      <c r="G10" s="8" t="s">
        <v>13</v>
      </c>
    </row>
    <row r="11" spans="3:7">
      <c r="C11" s="5" t="s">
        <v>18</v>
      </c>
      <c r="D11" s="6">
        <v>1000</v>
      </c>
      <c r="E11" s="6">
        <f t="shared" si="2"/>
        <v>200</v>
      </c>
      <c r="F11" s="9">
        <f t="shared" ref="F11:F15" si="3">E11</f>
        <v>200</v>
      </c>
      <c r="G11" s="8" t="s">
        <v>15</v>
      </c>
    </row>
    <row r="12" spans="3:7">
      <c r="C12" s="13" t="s">
        <v>21</v>
      </c>
      <c r="D12" s="6">
        <v>2000</v>
      </c>
      <c r="E12" s="6">
        <f t="shared" si="2"/>
        <v>400</v>
      </c>
      <c r="F12" s="9">
        <f t="shared" si="3"/>
        <v>400</v>
      </c>
      <c r="G12" s="8" t="s">
        <v>15</v>
      </c>
    </row>
    <row r="13" spans="3:7" ht="19.5">
      <c r="C13" s="14" t="s">
        <v>12</v>
      </c>
      <c r="D13" s="6">
        <v>400</v>
      </c>
      <c r="E13" s="6">
        <f t="shared" si="2"/>
        <v>80</v>
      </c>
      <c r="F13" s="9">
        <f t="shared" si="3"/>
        <v>80</v>
      </c>
      <c r="G13" s="8" t="s">
        <v>15</v>
      </c>
    </row>
    <row r="14" spans="3:7">
      <c r="C14" s="5" t="s">
        <v>11</v>
      </c>
      <c r="D14" s="6">
        <v>100</v>
      </c>
      <c r="E14" s="6">
        <f t="shared" si="2"/>
        <v>20</v>
      </c>
      <c r="F14" s="9">
        <f t="shared" si="3"/>
        <v>20</v>
      </c>
      <c r="G14" s="8" t="s">
        <v>15</v>
      </c>
    </row>
    <row r="15" spans="3:7">
      <c r="C15" s="5" t="s">
        <v>6</v>
      </c>
      <c r="D15" s="6">
        <v>4880</v>
      </c>
      <c r="E15" s="6">
        <f>D15*0.2</f>
        <v>976</v>
      </c>
      <c r="F15" s="9">
        <f t="shared" si="3"/>
        <v>976</v>
      </c>
      <c r="G15" s="8" t="s">
        <v>20</v>
      </c>
    </row>
    <row r="16" spans="3:7">
      <c r="D16" s="2"/>
      <c r="E16" s="2"/>
      <c r="F16" s="2"/>
    </row>
    <row r="17" spans="4:6">
      <c r="D17" s="2"/>
      <c r="E17" s="2"/>
      <c r="F17" s="4">
        <f>SUM(F3:F15)</f>
        <v>3918</v>
      </c>
    </row>
    <row r="18" spans="4:6">
      <c r="D18" s="2"/>
      <c r="E18" s="2"/>
      <c r="F18" s="2"/>
    </row>
    <row r="19" spans="4:6">
      <c r="D19" s="2"/>
      <c r="E19" s="2"/>
      <c r="F19" s="2"/>
    </row>
    <row r="20" spans="4:6">
      <c r="D20" s="2"/>
      <c r="E20" s="2"/>
      <c r="F2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Liber.Liu(劉兆鈞)</dc:creator>
  <cp:lastModifiedBy>Liber.Liu(劉兆鈞)</cp:lastModifiedBy>
  <dcterms:created xsi:type="dcterms:W3CDTF">2026-07-19T03:43:39Z</dcterms:created>
  <dcterms:modified xsi:type="dcterms:W3CDTF">2026-07-19T04:37:49Z</dcterms:modified>
</cp:coreProperties>
</file>